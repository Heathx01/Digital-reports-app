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grupopantaleon-my.sharepoint.com/personal/201580_pantaleon_com/Documents/Documents/ACTUALIZACION DE DOCUMENTOS/Agricola/7. Cosecha/Corte de caña/Cosecha Mecanizada/Formatos/"/>
    </mc:Choice>
  </mc:AlternateContent>
  <xr:revisionPtr revIDLastSave="57" documentId="13_ncr:1_{5F300C3E-5364-4388-8005-5B34D4A2CF1F}" xr6:coauthVersionLast="47" xr6:coauthVersionMax="47" xr10:uidLastSave="{FF9D04C0-AFDC-4857-AA66-9AF34724262D}"/>
  <bookViews>
    <workbookView xWindow="-110" yWindow="-110" windowWidth="19420" windowHeight="10300" xr2:uid="{00000000-000D-0000-FFFF-FFFF00000000}"/>
  </bookViews>
  <sheets>
    <sheet name="2-CM-F008" sheetId="1" r:id="rId1"/>
  </sheets>
  <definedNames>
    <definedName name="_xlnm.Print_Area" localSheetId="0">'2-CM-F008'!$A$1:$Q$52</definedName>
    <definedName name="c_12">(SUM('2-CM-F008'!A$41:A$43)/'2-CM-F008'!$C$41)*'2-CM-F008'!$A$43</definedName>
    <definedName name="CE_1">(SUM('2-CM-F008'!A$10:A$13)/'2-CM-F008'!$C$10)*'2-CM-F008'!$A$12</definedName>
    <definedName name="CE_10">(SUM('2-CM-F008'!#REF!)/'2-CM-F008'!#REF!)*'2-CM-F008'!#REF!</definedName>
    <definedName name="CE_11">(SUM('2-CM-F008'!A$39:A$40)/'2-CM-F008'!$C$39)*'2-CM-F008'!$A$40</definedName>
    <definedName name="CE_2">(SUM('2-CM-F008'!A$14:A$17)/'2-CM-F008'!$C$14)*'2-CM-F008'!$A$17</definedName>
    <definedName name="CE_3">(SUM('2-CM-F008'!A$18:A$20)/'2-CM-F008'!$C$18)*'2-CM-F008'!$A$20</definedName>
    <definedName name="CE_4">(SUM('2-CM-F008'!A$21:A$23)/'2-CM-F008'!$C$21)*'2-CM-F008'!$A$23</definedName>
    <definedName name="CE_5">+(SUM('2-CM-F008'!A$24:A$26)/'2-CM-F008'!$C$24)*'2-CM-F008'!$A$26</definedName>
    <definedName name="CE_6">(SUM('2-CM-F008'!A$27:A$28)/'2-CM-F008'!$C$27)*'2-CM-F008'!$A$28</definedName>
    <definedName name="CE_7">(SUM('2-CM-F008'!A$29:A$32)/'2-CM-F008'!$C$29)*'2-CM-F008'!$A$32</definedName>
    <definedName name="CE_8">(SUM('2-CM-F008'!A$33:A$35)/'2-CM-F008'!$C$33)*'2-CM-F008'!$A$35</definedName>
    <definedName name="CE_9">(SUM('2-CM-F008'!A$36:A$38)/'2-CM-F008'!$C$36)*'2-CM-F008'!$A$38</definedName>
    <definedName name="SUMA">SUM(#REF!)</definedName>
    <definedName name="Z_EB7890BD_DCE8_41B5_A310_959FF1F53171_.wvu.PrintArea" localSheetId="0" hidden="1">'2-CM-F008'!$A$1:$Q$52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C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<sst xmlns="http://schemas.openxmlformats.org/spreadsheetml/2006/main" count="62" uniqueCount="60">
  <si>
    <t xml:space="preserve">REGISTRO DE VALIDACION DE LOTES </t>
  </si>
  <si>
    <r>
      <rPr>
        <b/>
        <sz val="14"/>
        <rFont val="Arial"/>
        <family val="2"/>
      </rPr>
      <t>Actualización 10</t>
    </r>
    <r>
      <rPr>
        <sz val="14"/>
        <rFont val="Arial"/>
        <family val="2"/>
      </rPr>
      <t>: 11/09/2025</t>
    </r>
  </si>
  <si>
    <r>
      <rPr>
        <b/>
        <i/>
        <sz val="14"/>
        <color rgb="FF000000"/>
        <rFont val="Arial"/>
      </rPr>
      <t>2-</t>
    </r>
    <r>
      <rPr>
        <b/>
        <sz val="14"/>
        <color rgb="FF000000"/>
        <rFont val="Arial"/>
      </rPr>
      <t>CM-F008</t>
    </r>
  </si>
  <si>
    <t>Correlativo</t>
  </si>
  <si>
    <t xml:space="preserve">Fecha:               </t>
  </si>
  <si>
    <t>Reduccion</t>
  </si>
  <si>
    <t>Nombre de Finca:</t>
  </si>
  <si>
    <t>Zona de Producción:</t>
  </si>
  <si>
    <t>Código de Finca:</t>
  </si>
  <si>
    <t>Lotes</t>
  </si>
  <si>
    <t>Criterio Evaluativo</t>
  </si>
  <si>
    <t>Rangos</t>
  </si>
  <si>
    <t>Ponderación</t>
  </si>
  <si>
    <t>Longitud de surcos</t>
  </si>
  <si>
    <t>&gt; 500 m</t>
  </si>
  <si>
    <r>
      <t>250 a</t>
    </r>
    <r>
      <rPr>
        <sz val="14"/>
        <color indexed="8"/>
        <rFont val="Arial"/>
        <family val="2"/>
      </rPr>
      <t xml:space="preserve"> 500 m</t>
    </r>
  </si>
  <si>
    <r>
      <rPr>
        <sz val="14"/>
        <color indexed="8"/>
        <rFont val="Arial"/>
        <family val="2"/>
      </rPr>
      <t>150 a 250 m</t>
    </r>
  </si>
  <si>
    <t>&lt; a 150 m</t>
  </si>
  <si>
    <t>Rendimientos agrícolas</t>
  </si>
  <si>
    <t>&gt; a 100 t/ha</t>
  </si>
  <si>
    <t>&lt; a 100 y &gt; 90</t>
  </si>
  <si>
    <t>&lt; a 90 y &gt; a 80</t>
  </si>
  <si>
    <t>&lt; a 80</t>
  </si>
  <si>
    <t>Existencia de Bahía de Descargue</t>
  </si>
  <si>
    <t>De 300 m a 500 m</t>
  </si>
  <si>
    <t>De 500 m a 900 m</t>
  </si>
  <si>
    <r>
      <rPr>
        <i/>
        <sz val="14"/>
        <color indexed="8"/>
        <rFont val="Calibri"/>
        <family val="2"/>
      </rPr>
      <t>≥</t>
    </r>
    <r>
      <rPr>
        <i/>
        <sz val="14"/>
        <color indexed="8"/>
        <rFont val="Arial"/>
        <family val="2"/>
      </rPr>
      <t xml:space="preserve"> 1 km</t>
    </r>
  </si>
  <si>
    <r>
      <t xml:space="preserve">Obstáculos </t>
    </r>
    <r>
      <rPr>
        <sz val="14"/>
        <color indexed="8"/>
        <rFont val="Arial"/>
        <family val="2"/>
      </rPr>
      <t>en lote (piedra, arboles, terrazas, etc)</t>
    </r>
  </si>
  <si>
    <t>Sin obstáculos</t>
  </si>
  <si>
    <t>De 1 a 2 obstáculos</t>
  </si>
  <si>
    <t>Mas de 2 obstáculos</t>
  </si>
  <si>
    <t>Anchos de rondas sin obstáculos</t>
  </si>
  <si>
    <t>Entre 6 y 4 m</t>
  </si>
  <si>
    <t>&lt; a 4 m</t>
  </si>
  <si>
    <t>Inexistencia</t>
  </si>
  <si>
    <t>Circuito cañero</t>
  </si>
  <si>
    <t>De 6 a 8 m</t>
  </si>
  <si>
    <t>Distancia entre surcos</t>
  </si>
  <si>
    <t>&gt; 1.75 m</t>
  </si>
  <si>
    <t>Igual a 1.75 m</t>
  </si>
  <si>
    <t>&gt; 1.50 , &lt; 1.75 m</t>
  </si>
  <si>
    <r>
      <t xml:space="preserve">&lt;=  a 1.50 </t>
    </r>
    <r>
      <rPr>
        <b/>
        <i/>
        <sz val="14"/>
        <color indexed="8"/>
        <rFont val="Arial"/>
        <family val="2"/>
      </rPr>
      <t>m</t>
    </r>
  </si>
  <si>
    <r>
      <t xml:space="preserve">Crucero intermedio </t>
    </r>
    <r>
      <rPr>
        <sz val="14"/>
        <color indexed="8"/>
        <rFont val="Arial"/>
        <family val="2"/>
      </rPr>
      <t>conforme diseño</t>
    </r>
  </si>
  <si>
    <t>Entre 3 y 4 m</t>
  </si>
  <si>
    <t>&lt; a 3 m</t>
  </si>
  <si>
    <t xml:space="preserve">Números de cortes </t>
  </si>
  <si>
    <t>0 corte</t>
  </si>
  <si>
    <t>De 1 a 3 cortes</t>
  </si>
  <si>
    <t>&gt; a 3 cortes</t>
  </si>
  <si>
    <t>Condición de lotes</t>
  </si>
  <si>
    <t>Seco</t>
  </si>
  <si>
    <t>Humedad</t>
  </si>
  <si>
    <t>Nivelación del crucero con respecto al cuadro</t>
  </si>
  <si>
    <t>De 0 a 10 cm</t>
  </si>
  <si>
    <t>De 11 a 15 cm</t>
  </si>
  <si>
    <t xml:space="preserve"> &gt; a 15 cm</t>
  </si>
  <si>
    <t>TOTAL</t>
  </si>
  <si>
    <t>Comentarios Generales:</t>
  </si>
  <si>
    <t>Supervisor de Cosecha Mecanizada</t>
  </si>
  <si>
    <t>Jefe de Cosecha Mecanizada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</si>
</sst>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indexed="8"/>
      <name val="Arial"/>
      <family val="2"/>
    </font>
    <font>
      <i/>
      <sz val="14"/>
      <color theme="1"/>
      <name val="Arial"/>
      <family val="2"/>
    </font>
    <font>
      <i/>
      <sz val="14"/>
      <color indexed="8"/>
      <name val="Calibri"/>
      <family val="2"/>
    </font>
    <font>
      <i/>
      <sz val="14"/>
      <color indexed="8"/>
      <name val="Arial"/>
      <family val="2"/>
    </font>
    <font>
      <b/>
      <i/>
      <sz val="14"/>
      <color indexed="8"/>
      <name val="Arial"/>
      <family val="2"/>
    </font>
    <font>
      <b/>
      <i/>
      <sz val="14"/>
      <color rgb="FF000000"/>
      <name val="Arial"/>
    </font>
    <font>
      <b/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/>
  </cellStyleXfs>
  <cellXfs count="128">
    <xf numFmtId="0" fontId="0" fillId="0" borderId="0" xfId="0"/>
    <xf numFmtId="2" fontId="0" fillId="0" borderId="0" xfId="0" applyNumberFormat="1"/>
    <xf numFmtId="0" fontId="5" fillId="0" borderId="13" xfId="0" applyFont="1" applyBorder="1"/>
    <xf numFmtId="0" fontId="6" fillId="0" borderId="15" xfId="0" applyFont="1" applyBorder="1"/>
    <xf numFmtId="0" fontId="9" fillId="2" borderId="4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23" xfId="0" applyFont="1" applyFill="1" applyBorder="1"/>
    <xf numFmtId="0" fontId="9" fillId="2" borderId="12" xfId="0" applyFont="1" applyFill="1" applyBorder="1"/>
    <xf numFmtId="0" fontId="6" fillId="0" borderId="18" xfId="0" applyFont="1" applyBorder="1"/>
    <xf numFmtId="4" fontId="8" fillId="0" borderId="18" xfId="0" applyNumberFormat="1" applyFont="1" applyBorder="1" applyAlignment="1">
      <alignment horizontal="center"/>
    </xf>
    <xf numFmtId="2" fontId="6" fillId="0" borderId="24" xfId="0" applyNumberFormat="1" applyFont="1" applyBorder="1"/>
    <xf numFmtId="2" fontId="6" fillId="0" borderId="7" xfId="0" applyNumberFormat="1" applyFont="1" applyBorder="1"/>
    <xf numFmtId="0" fontId="6" fillId="0" borderId="19" xfId="0" applyFont="1" applyBorder="1"/>
    <xf numFmtId="2" fontId="8" fillId="0" borderId="18" xfId="0" applyNumberFormat="1" applyFont="1" applyBorder="1" applyAlignment="1">
      <alignment horizontal="center"/>
    </xf>
    <xf numFmtId="2" fontId="6" fillId="0" borderId="25" xfId="0" applyNumberFormat="1" applyFont="1" applyBorder="1"/>
    <xf numFmtId="2" fontId="6" fillId="0" borderId="6" xfId="0" applyNumberFormat="1" applyFont="1" applyBorder="1"/>
    <xf numFmtId="2" fontId="11" fillId="0" borderId="19" xfId="0" applyNumberFormat="1" applyFont="1" applyBorder="1" applyAlignment="1">
      <alignment horizontal="center"/>
    </xf>
    <xf numFmtId="0" fontId="6" fillId="0" borderId="20" xfId="0" applyFont="1" applyBorder="1"/>
    <xf numFmtId="2" fontId="6" fillId="0" borderId="30" xfId="0" applyNumberFormat="1" applyFont="1" applyBorder="1" applyAlignment="1">
      <alignment horizontal="center"/>
    </xf>
    <xf numFmtId="2" fontId="6" fillId="0" borderId="26" xfId="0" applyNumberFormat="1" applyFont="1" applyBorder="1"/>
    <xf numFmtId="2" fontId="6" fillId="0" borderId="9" xfId="0" applyNumberFormat="1" applyFont="1" applyBorder="1"/>
    <xf numFmtId="0" fontId="6" fillId="0" borderId="21" xfId="0" applyFont="1" applyBorder="1"/>
    <xf numFmtId="2" fontId="6" fillId="0" borderId="21" xfId="0" applyNumberFormat="1" applyFont="1" applyBorder="1" applyAlignment="1">
      <alignment horizontal="center"/>
    </xf>
    <xf numFmtId="2" fontId="6" fillId="0" borderId="18" xfId="0" applyNumberFormat="1" applyFont="1" applyBorder="1" applyAlignment="1">
      <alignment horizontal="center"/>
    </xf>
    <xf numFmtId="2" fontId="6" fillId="0" borderId="19" xfId="0" applyNumberFormat="1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0" fontId="6" fillId="0" borderId="26" xfId="0" applyFont="1" applyBorder="1"/>
    <xf numFmtId="0" fontId="6" fillId="0" borderId="9" xfId="0" applyFont="1" applyBorder="1"/>
    <xf numFmtId="0" fontId="11" fillId="3" borderId="22" xfId="0" applyFont="1" applyFill="1" applyBorder="1"/>
    <xf numFmtId="2" fontId="11" fillId="3" borderId="30" xfId="0" applyNumberFormat="1" applyFont="1" applyFill="1" applyBorder="1" applyAlignment="1">
      <alignment horizontal="center"/>
    </xf>
    <xf numFmtId="0" fontId="6" fillId="3" borderId="24" xfId="0" applyFont="1" applyFill="1" applyBorder="1"/>
    <xf numFmtId="0" fontId="6" fillId="0" borderId="7" xfId="0" applyFont="1" applyBorder="1"/>
    <xf numFmtId="2" fontId="11" fillId="3" borderId="22" xfId="0" applyNumberFormat="1" applyFont="1" applyFill="1" applyBorder="1" applyAlignment="1">
      <alignment horizontal="center"/>
    </xf>
    <xf numFmtId="0" fontId="6" fillId="3" borderId="25" xfId="0" applyFont="1" applyFill="1" applyBorder="1"/>
    <xf numFmtId="0" fontId="6" fillId="0" borderId="6" xfId="0" applyFont="1" applyBorder="1"/>
    <xf numFmtId="0" fontId="6" fillId="3" borderId="26" xfId="0" applyFont="1" applyFill="1" applyBorder="1"/>
    <xf numFmtId="2" fontId="8" fillId="0" borderId="21" xfId="0" applyNumberFormat="1" applyFont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2" fontId="8" fillId="0" borderId="20" xfId="0" applyNumberFormat="1" applyFont="1" applyBorder="1" applyAlignment="1">
      <alignment horizontal="center"/>
    </xf>
    <xf numFmtId="0" fontId="6" fillId="0" borderId="22" xfId="0" applyFont="1" applyBorder="1"/>
    <xf numFmtId="0" fontId="8" fillId="0" borderId="21" xfId="0" applyFont="1" applyBorder="1"/>
    <xf numFmtId="2" fontId="8" fillId="0" borderId="37" xfId="0" applyNumberFormat="1" applyFont="1" applyBorder="1" applyAlignment="1">
      <alignment horizontal="center"/>
    </xf>
    <xf numFmtId="2" fontId="6" fillId="0" borderId="35" xfId="0" applyNumberFormat="1" applyFont="1" applyBorder="1" applyAlignment="1">
      <alignment horizontal="center"/>
    </xf>
    <xf numFmtId="0" fontId="8" fillId="0" borderId="19" xfId="0" applyFont="1" applyBorder="1"/>
    <xf numFmtId="2" fontId="6" fillId="0" borderId="2" xfId="0" applyNumberFormat="1" applyFont="1" applyBorder="1" applyAlignment="1">
      <alignment horizontal="center"/>
    </xf>
    <xf numFmtId="0" fontId="8" fillId="0" borderId="20" xfId="0" applyFont="1" applyBorder="1"/>
    <xf numFmtId="2" fontId="6" fillId="0" borderId="36" xfId="0" applyNumberFormat="1" applyFont="1" applyBorder="1" applyAlignment="1">
      <alignment horizontal="center"/>
    </xf>
    <xf numFmtId="0" fontId="6" fillId="0" borderId="27" xfId="0" applyFont="1" applyBorder="1"/>
    <xf numFmtId="0" fontId="6" fillId="0" borderId="5" xfId="0" applyFont="1" applyBorder="1"/>
    <xf numFmtId="0" fontId="6" fillId="0" borderId="28" xfId="0" applyFont="1" applyBorder="1"/>
    <xf numFmtId="0" fontId="6" fillId="0" borderId="8" xfId="0" applyFont="1" applyBorder="1"/>
    <xf numFmtId="0" fontId="6" fillId="0" borderId="29" xfId="0" applyFont="1" applyBorder="1"/>
    <xf numFmtId="0" fontId="6" fillId="0" borderId="10" xfId="0" applyFont="1" applyBorder="1"/>
    <xf numFmtId="0" fontId="6" fillId="0" borderId="31" xfId="0" applyFont="1" applyBorder="1"/>
    <xf numFmtId="2" fontId="8" fillId="0" borderId="19" xfId="0" applyNumberFormat="1" applyFont="1" applyBorder="1" applyAlignment="1">
      <alignment horizontal="center"/>
    </xf>
    <xf numFmtId="0" fontId="6" fillId="0" borderId="32" xfId="0" applyFont="1" applyBorder="1"/>
    <xf numFmtId="2" fontId="6" fillId="0" borderId="22" xfId="0" applyNumberFormat="1" applyFont="1" applyBorder="1" applyAlignment="1">
      <alignment horizontal="center"/>
    </xf>
    <xf numFmtId="0" fontId="6" fillId="0" borderId="33" xfId="0" applyFont="1" applyBorder="1"/>
    <xf numFmtId="0" fontId="6" fillId="0" borderId="34" xfId="0" applyFont="1" applyBorder="1"/>
    <xf numFmtId="0" fontId="9" fillId="2" borderId="20" xfId="0" applyFont="1" applyFill="1" applyBorder="1"/>
    <xf numFmtId="2" fontId="9" fillId="2" borderId="20" xfId="0" applyNumberFormat="1" applyFont="1" applyFill="1" applyBorder="1" applyAlignment="1">
      <alignment horizontal="center"/>
    </xf>
    <xf numFmtId="9" fontId="6" fillId="2" borderId="26" xfId="0" applyNumberFormat="1" applyFont="1" applyFill="1" applyBorder="1" applyAlignment="1" applyProtection="1">
      <alignment horizontal="center"/>
      <protection locked="0" hidden="1"/>
    </xf>
    <xf numFmtId="0" fontId="6" fillId="0" borderId="3" xfId="0" applyFont="1" applyBorder="1"/>
    <xf numFmtId="0" fontId="5" fillId="0" borderId="49" xfId="0" applyFont="1" applyBorder="1"/>
    <xf numFmtId="0" fontId="5" fillId="0" borderId="50" xfId="0" applyFont="1" applyBorder="1"/>
    <xf numFmtId="0" fontId="6" fillId="0" borderId="45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47" xfId="0" applyFont="1" applyBorder="1"/>
    <xf numFmtId="0" fontId="9" fillId="2" borderId="12" xfId="0" applyFont="1" applyFill="1" applyBorder="1" applyAlignment="1">
      <alignment horizontal="center"/>
    </xf>
    <xf numFmtId="0" fontId="9" fillId="2" borderId="51" xfId="0" applyFont="1" applyFill="1" applyBorder="1"/>
    <xf numFmtId="0" fontId="6" fillId="0" borderId="49" xfId="0" applyFont="1" applyBorder="1" applyAlignment="1">
      <alignment horizontal="center" vertical="center" wrapText="1"/>
    </xf>
    <xf numFmtId="0" fontId="6" fillId="0" borderId="45" xfId="0" applyFont="1" applyBorder="1" applyAlignment="1">
      <alignment vertical="center" wrapText="1"/>
    </xf>
    <xf numFmtId="9" fontId="11" fillId="0" borderId="45" xfId="0" applyNumberFormat="1" applyFont="1" applyBorder="1" applyAlignment="1">
      <alignment horizontal="center" vertical="center" wrapText="1"/>
    </xf>
    <xf numFmtId="9" fontId="11" fillId="0" borderId="47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9" fontId="8" fillId="0" borderId="45" xfId="0" applyNumberFormat="1" applyFont="1" applyBorder="1" applyAlignment="1">
      <alignment horizontal="center" vertical="center" wrapText="1"/>
    </xf>
    <xf numFmtId="9" fontId="6" fillId="0" borderId="47" xfId="0" applyNumberFormat="1" applyFont="1" applyBorder="1" applyAlignment="1">
      <alignment horizontal="center" vertical="center" wrapText="1"/>
    </xf>
    <xf numFmtId="9" fontId="8" fillId="0" borderId="52" xfId="0" applyNumberFormat="1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8" fillId="0" borderId="4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9" fillId="2" borderId="44" xfId="0" applyFont="1" applyFill="1" applyBorder="1"/>
    <xf numFmtId="9" fontId="6" fillId="0" borderId="11" xfId="0" applyNumberFormat="1" applyFont="1" applyBorder="1" applyAlignment="1">
      <alignment horizontal="center"/>
    </xf>
    <xf numFmtId="2" fontId="6" fillId="0" borderId="0" xfId="0" applyNumberFormat="1" applyFont="1"/>
    <xf numFmtId="0" fontId="6" fillId="0" borderId="52" xfId="0" applyFont="1" applyBorder="1"/>
    <xf numFmtId="0" fontId="2" fillId="0" borderId="45" xfId="1" applyFont="1" applyBorder="1" applyAlignment="1">
      <alignment horizontal="center" vertical="distributed"/>
    </xf>
    <xf numFmtId="0" fontId="2" fillId="0" borderId="0" xfId="1" applyFont="1" applyAlignment="1">
      <alignment horizontal="center" vertical="distributed"/>
    </xf>
    <xf numFmtId="0" fontId="2" fillId="0" borderId="29" xfId="1" applyFont="1" applyBorder="1" applyAlignment="1">
      <alignment horizontal="center" vertical="distributed"/>
    </xf>
    <xf numFmtId="0" fontId="2" fillId="0" borderId="52" xfId="1" applyFont="1" applyBorder="1" applyAlignment="1">
      <alignment horizontal="center" vertical="distributed"/>
    </xf>
    <xf numFmtId="0" fontId="6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distributed"/>
    </xf>
    <xf numFmtId="0" fontId="2" fillId="0" borderId="24" xfId="1" applyFont="1" applyBorder="1" applyAlignment="1">
      <alignment horizontal="center" vertical="distributed"/>
    </xf>
    <xf numFmtId="0" fontId="2" fillId="0" borderId="44" xfId="1" applyFont="1" applyBorder="1" applyAlignment="1">
      <alignment horizontal="center" vertical="distributed"/>
    </xf>
    <xf numFmtId="0" fontId="2" fillId="0" borderId="42" xfId="1" applyFont="1" applyBorder="1" applyAlignment="1">
      <alignment horizontal="center" vertical="distributed"/>
    </xf>
    <xf numFmtId="0" fontId="2" fillId="0" borderId="27" xfId="1" applyFont="1" applyBorder="1" applyAlignment="1">
      <alignment horizontal="center" vertical="distributed"/>
    </xf>
    <xf numFmtId="0" fontId="6" fillId="0" borderId="49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wrapText="1"/>
    </xf>
    <xf numFmtId="0" fontId="4" fillId="0" borderId="43" xfId="0" applyFont="1" applyBorder="1" applyAlignment="1">
      <alignment horizontal="center" wrapText="1"/>
    </xf>
    <xf numFmtId="0" fontId="4" fillId="0" borderId="45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9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9" fontId="11" fillId="0" borderId="49" xfId="0" applyNumberFormat="1" applyFont="1" applyBorder="1" applyAlignment="1">
      <alignment horizontal="center" vertical="center" wrapText="1"/>
    </xf>
    <xf numFmtId="9" fontId="11" fillId="0" borderId="4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6" fillId="0" borderId="16" xfId="0" applyFont="1" applyBorder="1" applyAlignment="1">
      <alignment horizontal="center" vertical="center" wrapText="1"/>
    </xf>
  </cellXfs>
  <cellStyles count="2">
    <cellStyle name="Normal" xfId="0" builtinId="0"/>
    <cellStyle name="Normal_Hoja1" xfId="1" xr:uid="{00000000-0005-0000-0000-000001000000}"/>
  </cellStyles>
  <dxfs count="4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583594</xdr:colOff>
      <xdr:row>5</xdr:row>
      <xdr:rowOff>1209</xdr:rowOff>
    </xdr:from>
    <xdr:to>
      <xdr:col>1</xdr:col>
      <xdr:colOff>129529</xdr:colOff>
      <xdr:row>5</xdr:row>
      <xdr:rowOff>1209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3B768A2-1DA6-4664-BAC0-14C6CAACF592}"/>
            </a:ext>
          </a:extLst>
        </xdr:cNvPr>
        <xdr:cNvCxnSpPr/>
      </xdr:nvCxnSpPr>
      <xdr:spPr>
        <a:xfrm>
          <a:off x="586769" y="1098489"/>
          <a:ext cx="17716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1458151</xdr:colOff>
      <xdr:row>7</xdr:row>
      <xdr:rowOff>2604</xdr:rowOff>
    </xdr:from>
    <xdr:to>
      <xdr:col>2</xdr:col>
      <xdr:colOff>830354</xdr:colOff>
      <xdr:row>7</xdr:row>
      <xdr:rowOff>2604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3F6615-FFD5-4407-ABAA-564C990448D8}"/>
            </a:ext>
          </a:extLst>
        </xdr:cNvPr>
        <xdr:cNvCxnSpPr/>
      </xdr:nvCxnSpPr>
      <xdr:spPr>
        <a:xfrm>
          <a:off x="1458151" y="2473582"/>
          <a:ext cx="412089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121947</xdr:colOff>
      <xdr:row>51</xdr:row>
      <xdr:rowOff>46076</xdr:rowOff>
    </xdr:from>
    <xdr:to>
      <xdr:col>13</xdr:col>
      <xdr:colOff>299037</xdr:colOff>
      <xdr:row>51</xdr:row>
      <xdr:rowOff>46076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800769-7B91-4747-83FA-D9742C0F44F7}"/>
            </a:ext>
          </a:extLst>
        </xdr:cNvPr>
        <xdr:cNvCxnSpPr/>
      </xdr:nvCxnSpPr>
      <xdr:spPr>
        <a:xfrm>
          <a:off x="9263757" y="14793404"/>
          <a:ext cx="4841056" cy="0"/>
        </a:xfrm>
        <a:prstGeom prst="line">
          <a:avLst/>
        </a:prstGeom>
        <a:ln w="1079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819150</xdr:colOff>
      <xdr:row>0</xdr:row>
      <xdr:rowOff>9525</xdr:rowOff>
    </xdr:from>
    <xdr:to>
      <xdr:col>1</xdr:col>
      <xdr:colOff>1466850</xdr:colOff>
      <xdr:row>2</xdr:row>
      <xdr:rowOff>381000</xdr:rowOff>
    </xdr:to>
    <xdr:pic>
      <xdr:nvPicPr>
        <xdr:cNvPr id="1163" name="Picture 9" descr="Logotipo Pantaleon Ingenio Monte Rosa-01">
          <a:extLst>
            <a:ext uri="{FF2B5EF4-FFF2-40B4-BE49-F238E27FC236}">
              <a16:creationId xmlns:a16="http://schemas.microsoft.com/office/drawing/2014/main" id="{D2A4C426-8EAF-4B45-9E93-A0C40038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9525"/>
          <a:ext cx="25908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364935</xdr:colOff>
      <xdr:row>5</xdr:row>
      <xdr:rowOff>438978</xdr:rowOff>
    </xdr:from>
    <xdr:to>
      <xdr:col>12</xdr:col>
      <xdr:colOff>367813</xdr:colOff>
      <xdr:row>5</xdr:row>
      <xdr:rowOff>438978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42E55A0-4C48-4821-AC99-51296D174A1B}"/>
            </a:ext>
          </a:extLst>
        </xdr:cNvPr>
        <xdr:cNvCxnSpPr/>
      </xdr:nvCxnSpPr>
      <xdr:spPr>
        <a:xfrm>
          <a:off x="11021892" y="2109304"/>
          <a:ext cx="232200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833045</xdr:colOff>
      <xdr:row>51</xdr:row>
      <xdr:rowOff>21166</xdr:rowOff>
    </xdr:from>
    <xdr:to>
      <xdr:col>4</xdr:col>
      <xdr:colOff>659815</xdr:colOff>
      <xdr:row>51</xdr:row>
      <xdr:rowOff>21166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C9E2169-FF58-43A6-A762-921E94E7D76E}"/>
            </a:ext>
          </a:extLst>
        </xdr:cNvPr>
        <xdr:cNvCxnSpPr/>
      </xdr:nvCxnSpPr>
      <xdr:spPr>
        <a:xfrm>
          <a:off x="622860" y="10445326"/>
          <a:ext cx="2502649" cy="0"/>
        </a:xfrm>
        <a:prstGeom prst="line">
          <a:avLst/>
        </a:prstGeom>
        <a:ln w="1079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1524942</xdr:colOff>
      <xdr:row>6</xdr:row>
      <xdr:rowOff>2778</xdr:rowOff>
    </xdr:from>
    <xdr:to>
      <xdr:col>2</xdr:col>
      <xdr:colOff>845408</xdr:colOff>
      <xdr:row>6</xdr:row>
      <xdr:rowOff>2778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873A780-E3EF-4C12-B064-30AF84D52910}"/>
            </a:ext>
          </a:extLst>
        </xdr:cNvPr>
        <xdr:cNvCxnSpPr/>
      </xdr:nvCxnSpPr>
      <xdr:spPr>
        <a:xfrm>
          <a:off x="1524942" y="2114843"/>
          <a:ext cx="406916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R52"/>
  <sheetViews>
    <sheetView showGridLines="0" tabSelected="1" view="pageBreakPreview" zoomScale="58" zoomScaleNormal="32" zoomScaleSheetLayoutView="58" workbookViewId="0">
      <pane xSplit="3" topLeftCell="D1" activePane="topRight" state="frozen"/>
      <selection pane="topRight" activeCell="J3" sqref="J3:N3"/>
      <selection activeCell="A16" sqref="A16"/>
    </sheetView>
  </sheetViews>
  <sheetFormatPr defaultRowHeight="14.45"/>
  <cols>
    <col min="1" max="1" width="34" customWidth="1"/>
    <col min="2" max="2" width="34.85546875" customWidth="1"/>
    <col min="3" max="3" width="18.28515625" customWidth="1"/>
    <col min="4" max="17" width="13.140625" customWidth="1"/>
    <col min="18" max="18" width="11.85546875" bestFit="1" customWidth="1"/>
  </cols>
  <sheetData>
    <row r="1" spans="1:18" ht="24" customHeight="1">
      <c r="A1" s="101"/>
      <c r="B1" s="102"/>
      <c r="C1" s="107" t="s">
        <v>0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</row>
    <row r="2" spans="1:18" ht="24" customHeight="1" thickBot="1">
      <c r="A2" s="103"/>
      <c r="B2" s="104"/>
      <c r="C2" s="110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2"/>
    </row>
    <row r="3" spans="1:18" ht="31.5" customHeight="1">
      <c r="A3" s="105"/>
      <c r="B3" s="106"/>
      <c r="C3" s="119" t="s">
        <v>1</v>
      </c>
      <c r="D3" s="120"/>
      <c r="E3" s="120"/>
      <c r="F3" s="120"/>
      <c r="G3" s="120"/>
      <c r="H3" s="120"/>
      <c r="I3" s="120"/>
      <c r="J3" s="127" t="s">
        <v>2</v>
      </c>
      <c r="K3" s="121"/>
      <c r="L3" s="121"/>
      <c r="M3" s="121"/>
      <c r="N3" s="122"/>
      <c r="O3" s="121" t="s">
        <v>3</v>
      </c>
      <c r="P3" s="121"/>
      <c r="Q3" s="123"/>
    </row>
    <row r="4" spans="1:18" ht="24" customHeight="1">
      <c r="A4" s="6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5"/>
    </row>
    <row r="5" spans="1:18" ht="28.5" customHeight="1">
      <c r="A5" s="66" t="s">
        <v>4</v>
      </c>
      <c r="B5" s="67"/>
      <c r="C5" s="67"/>
      <c r="D5" s="68" t="s">
        <v>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52"/>
    </row>
    <row r="6" spans="1:18" ht="35.1" customHeight="1">
      <c r="A6" s="66" t="s">
        <v>6</v>
      </c>
      <c r="B6" s="67"/>
      <c r="C6" s="67"/>
      <c r="D6" s="67"/>
      <c r="E6" s="67"/>
      <c r="F6" s="67"/>
      <c r="G6" s="67"/>
      <c r="H6" s="69" t="s">
        <v>7</v>
      </c>
      <c r="I6" s="67"/>
      <c r="J6" s="67"/>
      <c r="K6" s="67"/>
      <c r="L6" s="67"/>
      <c r="M6" s="67"/>
      <c r="N6" s="67"/>
      <c r="O6" s="67"/>
      <c r="P6" s="67"/>
      <c r="Q6" s="52"/>
    </row>
    <row r="7" spans="1:18" ht="28.5" customHeight="1">
      <c r="A7" s="66" t="s">
        <v>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52"/>
    </row>
    <row r="8" spans="1:18" ht="24" customHeight="1" thickBot="1">
      <c r="A8" s="70"/>
      <c r="B8" s="3"/>
      <c r="C8" s="3"/>
      <c r="D8" s="124" t="s">
        <v>9</v>
      </c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6"/>
    </row>
    <row r="9" spans="1:18" ht="28.5" customHeight="1" thickBot="1">
      <c r="A9" s="71" t="s">
        <v>10</v>
      </c>
      <c r="B9" s="4" t="s">
        <v>11</v>
      </c>
      <c r="C9" s="5" t="s">
        <v>12</v>
      </c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2"/>
    </row>
    <row r="10" spans="1:18" ht="21.95" customHeight="1">
      <c r="A10" s="73" t="s">
        <v>13</v>
      </c>
      <c r="B10" s="8" t="s">
        <v>14</v>
      </c>
      <c r="C10" s="9">
        <v>15</v>
      </c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"/>
    </row>
    <row r="11" spans="1:18" ht="21.95" customHeight="1">
      <c r="A11" s="74"/>
      <c r="B11" s="12" t="s">
        <v>15</v>
      </c>
      <c r="C11" s="13">
        <v>13</v>
      </c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"/>
    </row>
    <row r="12" spans="1:18" ht="21.95" customHeight="1">
      <c r="A12" s="75">
        <v>0.15</v>
      </c>
      <c r="B12" s="12" t="s">
        <v>16</v>
      </c>
      <c r="C12" s="16">
        <v>8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"/>
    </row>
    <row r="13" spans="1:18" ht="21.95" customHeight="1" thickBot="1">
      <c r="A13" s="76"/>
      <c r="B13" s="17" t="s">
        <v>17</v>
      </c>
      <c r="C13" s="18">
        <v>3</v>
      </c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"/>
    </row>
    <row r="14" spans="1:18" ht="21.95" customHeight="1">
      <c r="A14" s="73" t="s">
        <v>18</v>
      </c>
      <c r="B14" s="21" t="s">
        <v>19</v>
      </c>
      <c r="C14" s="22">
        <v>15</v>
      </c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"/>
    </row>
    <row r="15" spans="1:18" ht="21.95" customHeight="1">
      <c r="A15" s="77"/>
      <c r="B15" s="12" t="s">
        <v>20</v>
      </c>
      <c r="C15" s="23">
        <v>13</v>
      </c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"/>
    </row>
    <row r="16" spans="1:18" ht="21.95" customHeight="1">
      <c r="A16" s="78"/>
      <c r="B16" s="12" t="s">
        <v>21</v>
      </c>
      <c r="C16" s="24">
        <v>10</v>
      </c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"/>
    </row>
    <row r="17" spans="1:18" ht="21.95" customHeight="1" thickBot="1">
      <c r="A17" s="79">
        <v>0.15</v>
      </c>
      <c r="B17" s="17" t="s">
        <v>22</v>
      </c>
      <c r="C17" s="25">
        <v>4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1"/>
    </row>
    <row r="18" spans="1:18" ht="21.95" customHeight="1">
      <c r="A18" s="117" t="s">
        <v>23</v>
      </c>
      <c r="B18" s="28" t="s">
        <v>24</v>
      </c>
      <c r="C18" s="29">
        <v>10</v>
      </c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1"/>
    </row>
    <row r="19" spans="1:18" ht="21.95" customHeight="1">
      <c r="A19" s="118"/>
      <c r="B19" s="28" t="s">
        <v>25</v>
      </c>
      <c r="C19" s="32">
        <v>6</v>
      </c>
      <c r="D19" s="33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1"/>
    </row>
    <row r="20" spans="1:18" ht="21.95" customHeight="1" thickBot="1">
      <c r="A20" s="80">
        <v>0.06</v>
      </c>
      <c r="B20" s="28" t="s">
        <v>26</v>
      </c>
      <c r="C20" s="32">
        <v>0</v>
      </c>
      <c r="D20" s="3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1"/>
    </row>
    <row r="21" spans="1:18" ht="21.95" customHeight="1">
      <c r="A21" s="99" t="s">
        <v>27</v>
      </c>
      <c r="B21" s="21" t="s">
        <v>28</v>
      </c>
      <c r="C21" s="36">
        <v>10</v>
      </c>
      <c r="D21" s="37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1"/>
    </row>
    <row r="22" spans="1:18" ht="21.95" customHeight="1">
      <c r="A22" s="100"/>
      <c r="B22" s="12" t="s">
        <v>29</v>
      </c>
      <c r="C22" s="13">
        <v>8</v>
      </c>
      <c r="D22" s="38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1"/>
    </row>
    <row r="23" spans="1:18" ht="21.95" customHeight="1" thickBot="1">
      <c r="A23" s="79">
        <v>0.1</v>
      </c>
      <c r="B23" s="17" t="s">
        <v>30</v>
      </c>
      <c r="C23" s="39">
        <v>5</v>
      </c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"/>
    </row>
    <row r="24" spans="1:18" ht="21.95" customHeight="1">
      <c r="A24" s="113" t="s">
        <v>31</v>
      </c>
      <c r="B24" s="21" t="s">
        <v>32</v>
      </c>
      <c r="C24" s="36">
        <v>10</v>
      </c>
      <c r="D24" s="37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1"/>
    </row>
    <row r="25" spans="1:18" ht="21.95" customHeight="1">
      <c r="A25" s="114"/>
      <c r="B25" s="12" t="s">
        <v>33</v>
      </c>
      <c r="C25" s="23">
        <v>6</v>
      </c>
      <c r="D25" s="3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"/>
    </row>
    <row r="26" spans="1:18" ht="21.95" customHeight="1" thickBot="1">
      <c r="A26" s="76">
        <v>0.1</v>
      </c>
      <c r="B26" s="17" t="s">
        <v>34</v>
      </c>
      <c r="C26" s="25">
        <v>0</v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1"/>
    </row>
    <row r="27" spans="1:18" ht="21.95" customHeight="1">
      <c r="A27" s="73" t="s">
        <v>35</v>
      </c>
      <c r="B27" s="21" t="s">
        <v>36</v>
      </c>
      <c r="C27" s="22">
        <v>8</v>
      </c>
      <c r="D27" s="37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1"/>
    </row>
    <row r="28" spans="1:18" ht="21.95" customHeight="1" thickBot="1">
      <c r="A28" s="79">
        <v>0.08</v>
      </c>
      <c r="B28" s="40" t="s">
        <v>34</v>
      </c>
      <c r="C28" s="25">
        <v>0</v>
      </c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1"/>
    </row>
    <row r="29" spans="1:18" ht="21.95" customHeight="1">
      <c r="A29" s="115" t="s">
        <v>37</v>
      </c>
      <c r="B29" s="41" t="s">
        <v>38</v>
      </c>
      <c r="C29" s="42">
        <v>9</v>
      </c>
      <c r="D29" s="37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"/>
    </row>
    <row r="30" spans="1:18" ht="21.95" customHeight="1">
      <c r="A30" s="116"/>
      <c r="B30" s="12" t="s">
        <v>39</v>
      </c>
      <c r="C30" s="43">
        <v>6</v>
      </c>
      <c r="D30" s="37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"/>
    </row>
    <row r="31" spans="1:18" ht="21.95" customHeight="1">
      <c r="A31" s="82"/>
      <c r="B31" s="44" t="s">
        <v>40</v>
      </c>
      <c r="C31" s="45">
        <v>4</v>
      </c>
      <c r="D31" s="3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1"/>
    </row>
    <row r="32" spans="1:18" ht="21.95" customHeight="1" thickBot="1">
      <c r="A32" s="79">
        <v>0.1</v>
      </c>
      <c r="B32" s="46" t="s">
        <v>41</v>
      </c>
      <c r="C32" s="47">
        <v>0</v>
      </c>
      <c r="D32" s="48"/>
      <c r="E32" s="49"/>
      <c r="F32" s="49"/>
      <c r="G32" s="49"/>
      <c r="H32" s="27"/>
      <c r="I32" s="49"/>
      <c r="J32" s="49"/>
      <c r="K32" s="27"/>
      <c r="L32" s="49"/>
      <c r="M32" s="49"/>
      <c r="N32" s="49"/>
      <c r="O32" s="49"/>
      <c r="P32" s="49"/>
      <c r="Q32" s="49"/>
      <c r="R32" s="1"/>
    </row>
    <row r="33" spans="1:18" ht="21.95" customHeight="1">
      <c r="A33" s="99" t="s">
        <v>42</v>
      </c>
      <c r="B33" s="8" t="s">
        <v>43</v>
      </c>
      <c r="C33" s="22">
        <v>8</v>
      </c>
      <c r="D33" s="50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1"/>
    </row>
    <row r="34" spans="1:18" ht="21.95" customHeight="1">
      <c r="A34" s="100"/>
      <c r="B34" s="12" t="s">
        <v>44</v>
      </c>
      <c r="C34" s="23">
        <v>6</v>
      </c>
      <c r="D34" s="37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1"/>
    </row>
    <row r="35" spans="1:18" ht="21.95" customHeight="1" thickBot="1">
      <c r="A35" s="76">
        <v>0.06</v>
      </c>
      <c r="B35" s="17" t="s">
        <v>34</v>
      </c>
      <c r="C35" s="25">
        <v>0</v>
      </c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1"/>
    </row>
    <row r="36" spans="1:18" ht="21.95" customHeight="1">
      <c r="A36" s="83" t="s">
        <v>45</v>
      </c>
      <c r="B36" s="21" t="s">
        <v>46</v>
      </c>
      <c r="C36" s="36">
        <v>5</v>
      </c>
      <c r="D36" s="54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1"/>
    </row>
    <row r="37" spans="1:18" ht="21.95" customHeight="1">
      <c r="A37" s="84"/>
      <c r="B37" s="12" t="s">
        <v>47</v>
      </c>
      <c r="C37" s="55">
        <v>3</v>
      </c>
      <c r="D37" s="56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1"/>
    </row>
    <row r="38" spans="1:18" ht="21.95" customHeight="1" thickBot="1">
      <c r="A38" s="76">
        <v>0.1</v>
      </c>
      <c r="B38" s="40" t="s">
        <v>48</v>
      </c>
      <c r="C38" s="57">
        <v>0</v>
      </c>
      <c r="D38" s="58"/>
      <c r="E38" s="59"/>
      <c r="F38" s="59"/>
      <c r="G38" s="59"/>
      <c r="H38" s="27"/>
      <c r="I38" s="59"/>
      <c r="J38" s="59"/>
      <c r="K38" s="27"/>
      <c r="L38" s="59"/>
      <c r="M38" s="59"/>
      <c r="N38" s="59"/>
      <c r="O38" s="27"/>
      <c r="P38" s="59"/>
      <c r="Q38" s="59"/>
      <c r="R38" s="1"/>
    </row>
    <row r="39" spans="1:18" ht="21.95" customHeight="1">
      <c r="A39" s="81" t="s">
        <v>49</v>
      </c>
      <c r="B39" s="41" t="s">
        <v>50</v>
      </c>
      <c r="C39" s="22">
        <v>5</v>
      </c>
      <c r="D39" s="37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1"/>
    </row>
    <row r="40" spans="1:18" ht="21.95" customHeight="1" thickBot="1">
      <c r="A40" s="76">
        <v>0.05</v>
      </c>
      <c r="B40" s="8" t="s">
        <v>51</v>
      </c>
      <c r="C40" s="23">
        <v>0</v>
      </c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/>
    </row>
    <row r="41" spans="1:18" ht="21.95" customHeight="1">
      <c r="A41" s="99" t="s">
        <v>52</v>
      </c>
      <c r="B41" s="21" t="s">
        <v>53</v>
      </c>
      <c r="C41" s="22">
        <v>5</v>
      </c>
      <c r="D41" s="52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1"/>
    </row>
    <row r="42" spans="1:18" ht="21.95" customHeight="1">
      <c r="A42" s="100"/>
      <c r="B42" s="12" t="s">
        <v>54</v>
      </c>
      <c r="C42" s="23">
        <v>3</v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1"/>
    </row>
    <row r="43" spans="1:18" ht="21.95" customHeight="1" thickBot="1">
      <c r="A43" s="76">
        <v>0.05</v>
      </c>
      <c r="B43" s="40" t="s">
        <v>55</v>
      </c>
      <c r="C43" s="57">
        <v>0</v>
      </c>
      <c r="D43" s="48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1"/>
    </row>
    <row r="44" spans="1:18" ht="21.75" customHeight="1" thickBot="1">
      <c r="A44" s="85" t="s">
        <v>56</v>
      </c>
      <c r="B44" s="60"/>
      <c r="C44" s="61">
        <f>C41+C39+C36+C33+C29+C27+C24+C21+C18+C14+C10</f>
        <v>100</v>
      </c>
      <c r="D44" s="62" t="str">
        <f t="shared" ref="D44:Q44" ca="1" si="0">IF(SUM(CE_1,CE_2,CE_3,CE_4,CE_5,CE_6,CE_7,CE_8,CE_9,CE_11,c_12)&lt;=0,"",IF(SUM(CE_1,CE_2,CE_3,CE_4,CE_5,CE_6,CE_7,CE_8,CE_9,CE_11,c_12)&lt;=0.7,"D",IF(SUM(CE_1,CE_2,CE_3,CE_4,CE_5,CE_6,CE_7,CE_8,CE_9,CE_11,c_12)&lt;=0.8,"C",IF(SUM(CE_1,CE_2,CE_3,CE_4,CE_5,CE_6,CE_7,CE_8,CE_9,CE_11,c_12)&lt;=0.9,"B",IF(SUM(CE_1,CE_2,CE_3,CE_4,CE_5,CE_6,CE_7,CE_8,CE_9,CE_11,c_12)&gt;0.9,"A")))))</f>
        <v/>
      </c>
      <c r="E44" s="62" t="str">
        <f t="shared" ca="1" si="0"/>
        <v/>
      </c>
      <c r="F44" s="62" t="str">
        <f t="shared" ca="1" si="0"/>
        <v/>
      </c>
      <c r="G44" s="62" t="str">
        <f t="shared" ca="1" si="0"/>
        <v/>
      </c>
      <c r="H44" s="62" t="str">
        <f t="shared" ca="1" si="0"/>
        <v/>
      </c>
      <c r="I44" s="62" t="str">
        <f t="shared" ca="1" si="0"/>
        <v/>
      </c>
      <c r="J44" s="62" t="str">
        <f t="shared" ca="1" si="0"/>
        <v/>
      </c>
      <c r="K44" s="62" t="str">
        <f t="shared" ca="1" si="0"/>
        <v/>
      </c>
      <c r="L44" s="62" t="str">
        <f t="shared" ca="1" si="0"/>
        <v/>
      </c>
      <c r="M44" s="62" t="str">
        <f t="shared" ca="1" si="0"/>
        <v/>
      </c>
      <c r="N44" s="62" t="str">
        <f t="shared" ca="1" si="0"/>
        <v/>
      </c>
      <c r="O44" s="62" t="str">
        <f t="shared" ca="1" si="0"/>
        <v/>
      </c>
      <c r="P44" s="62" t="str">
        <f t="shared" ca="1" si="0"/>
        <v/>
      </c>
      <c r="Q44" s="62" t="str">
        <f t="shared" ca="1" si="0"/>
        <v/>
      </c>
    </row>
    <row r="45" spans="1:18" ht="21.75" customHeight="1" thickBot="1">
      <c r="A45" s="86">
        <f>+SUM(A12,A17,A20,A23,A26,A28,A32,A35,A38,A40,A43)</f>
        <v>0.99999999999999989</v>
      </c>
      <c r="B45" s="67"/>
      <c r="C45" s="67"/>
      <c r="D45" s="8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52"/>
    </row>
    <row r="46" spans="1:18" ht="21.75" customHeight="1">
      <c r="A46" s="66" t="s">
        <v>57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37"/>
    </row>
    <row r="47" spans="1:18" ht="21.75" customHeight="1">
      <c r="A47" s="88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37"/>
    </row>
    <row r="48" spans="1:18" ht="21.75" customHeight="1">
      <c r="A48" s="88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37"/>
    </row>
    <row r="49" spans="1:17" ht="21.75" customHeight="1">
      <c r="A49" s="88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37"/>
    </row>
    <row r="50" spans="1:17" ht="16.5" customHeight="1">
      <c r="A50" s="96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8"/>
    </row>
    <row r="51" spans="1:17" ht="33.950000000000003" customHeight="1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1"/>
    </row>
    <row r="52" spans="1:17" ht="31.5" customHeight="1">
      <c r="A52" s="92"/>
      <c r="B52" s="93" t="s">
        <v>58</v>
      </c>
      <c r="C52" s="94"/>
      <c r="D52" s="94"/>
      <c r="E52" s="94"/>
      <c r="F52" s="94"/>
      <c r="G52" s="94"/>
      <c r="H52" s="94"/>
      <c r="I52" s="93" t="s">
        <v>59</v>
      </c>
      <c r="J52" s="94"/>
      <c r="K52" s="94"/>
      <c r="L52" s="94"/>
      <c r="M52" s="94"/>
      <c r="N52" s="94"/>
      <c r="O52" s="94"/>
      <c r="P52" s="94"/>
      <c r="Q52" s="95"/>
    </row>
  </sheetData>
  <mergeCells count="13">
    <mergeCell ref="A50:Q50"/>
    <mergeCell ref="A41:A42"/>
    <mergeCell ref="A21:A22"/>
    <mergeCell ref="A1:B3"/>
    <mergeCell ref="C1:Q2"/>
    <mergeCell ref="A24:A25"/>
    <mergeCell ref="A33:A34"/>
    <mergeCell ref="A29:A30"/>
    <mergeCell ref="A18:A19"/>
    <mergeCell ref="C3:I3"/>
    <mergeCell ref="J3:N3"/>
    <mergeCell ref="O3:Q3"/>
    <mergeCell ref="D8:Q8"/>
  </mergeCells>
  <conditionalFormatting sqref="D44:Q44">
    <cfRule type="cellIs" priority="1" stopIfTrue="1" operator="equal">
      <formula>""""""</formula>
    </cfRule>
    <cfRule type="containsText" dxfId="3" priority="2" stopIfTrue="1" operator="containsText" text="D">
      <formula>NOT(ISERROR(SEARCH("D",D44)))</formula>
    </cfRule>
    <cfRule type="containsText" dxfId="2" priority="3" stopIfTrue="1" operator="containsText" text="C">
      <formula>NOT(ISERROR(SEARCH("C",D44)))</formula>
    </cfRule>
    <cfRule type="containsText" dxfId="1" priority="4" stopIfTrue="1" operator="containsText" text="B">
      <formula>NOT(ISERROR(SEARCH("B",D44)))</formula>
    </cfRule>
    <cfRule type="containsText" dxfId="0" priority="5" stopIfTrue="1" operator="containsText" text="A">
      <formula>NOT(ISERROR(SEARCH("A",D44)))</formula>
    </cfRule>
  </conditionalFormatting>
  <printOptions horizontalCentered="1" verticalCentered="1"/>
  <pageMargins left="0" right="0" top="0.19685039370078741" bottom="0.19685039370078741" header="0" footer="0"/>
  <pageSetup scale="48" orientation="landscape" r:id="rId1"/>
  <headerFooter>
    <oddFooter>&amp;C&amp;"Arial,Regular"&amp;9Lugar: Oficina de Corte Mecanizada    Medio: Físico     Responsable: Jefe de Corte Mecanizado    Retención: 6 meses      Disposición: Destruir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B4C01AC9A74044B91E703709DC2816" ma:contentTypeVersion="18" ma:contentTypeDescription="Crear nuevo documento." ma:contentTypeScope="" ma:versionID="e39c1a9a92d535212550085e8babc9e7">
  <xsd:schema xmlns:xsd="http://www.w3.org/2001/XMLSchema" xmlns:xs="http://www.w3.org/2001/XMLSchema" xmlns:p="http://schemas.microsoft.com/office/2006/metadata/properties" xmlns:ns2="a6ca6c6b-598f-4951-83a1-91b47d130264" xmlns:ns3="b45ecf58-55fb-4bf8-af86-d128bd65c552" targetNamespace="http://schemas.microsoft.com/office/2006/metadata/properties" ma:root="true" ma:fieldsID="64670b133da966b746976f33256f8c33" ns2:_="" ns3:_="">
    <xsd:import namespace="a6ca6c6b-598f-4951-83a1-91b47d130264"/>
    <xsd:import namespace="b45ecf58-55fb-4bf8-af86-d128bd65c5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itul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a6c6b-598f-4951-83a1-91b47d130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e882ea9-87ba-4fd0-bb3b-7bc6a86d1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tulo" ma:index="23" nillable="true" ma:displayName="Titulo" ma:format="Dropdown" ma:internalName="Titulo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ecf58-55fb-4bf8-af86-d128bd65c5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0222ff-2cbb-440c-8179-929e188f46d1}" ma:internalName="TaxCatchAll" ma:showField="CatchAllData" ma:web="b45ecf58-55fb-4bf8-af86-d128bd65c5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5ecf58-55fb-4bf8-af86-d128bd65c552" xsi:nil="true"/>
    <Titulo xmlns="a6ca6c6b-598f-4951-83a1-91b47d130264" xsi:nil="true"/>
    <lcf76f155ced4ddcb4097134ff3c332f xmlns="a6ca6c6b-598f-4951-83a1-91b47d1302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23D51B-3ECC-4C4E-ABED-1D83AEF3DFDF}"/>
</file>

<file path=customXml/itemProps2.xml><?xml version="1.0" encoding="utf-8"?>
<ds:datastoreItem xmlns:ds="http://schemas.openxmlformats.org/officeDocument/2006/customXml" ds:itemID="{B57D6ADC-D8DE-40E8-A8F1-F76472678770}"/>
</file>

<file path=customXml/itemProps3.xml><?xml version="1.0" encoding="utf-8"?>
<ds:datastoreItem xmlns:ds="http://schemas.openxmlformats.org/officeDocument/2006/customXml" ds:itemID="{D0921B5B-F6DE-4C1F-954E-0FA0C9647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validación de lotes</dc:title>
  <dc:subject/>
  <dc:creator>Carlos Abel Gonzalez</dc:creator>
  <cp:keywords/>
  <dc:description/>
  <cp:lastModifiedBy>Lidia Carolina Ordoñez Cruz</cp:lastModifiedBy>
  <cp:revision/>
  <dcterms:created xsi:type="dcterms:W3CDTF">2016-06-29T16:53:57Z</dcterms:created>
  <dcterms:modified xsi:type="dcterms:W3CDTF">2025-09-11T15:22:20Z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0x010100A1B4C01AC9A74044B91E703709DC2816</vt:lpwstr>
  </property>
  <property fmtid="{D5CDD505-2E9C-101B-9397-08002B2CF9AE}" pid="3" name="MediaServiceImageTags">
    <vt:lpwstr/>
  </property>
</Properties>
</file>